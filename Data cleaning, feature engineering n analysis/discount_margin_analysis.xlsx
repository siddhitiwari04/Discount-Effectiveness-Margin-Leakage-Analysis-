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5492ee606aa5576/Desktop/Discount effectiveness project zs/"/>
    </mc:Choice>
  </mc:AlternateContent>
  <xr:revisionPtr revIDLastSave="0" documentId="11_98AA68A6EAC69CE852C42C16EF7F0AF8561A92B8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Elasticity" sheetId="1" r:id="rId1"/>
    <sheet name="Breakeven" sheetId="2" r:id="rId2"/>
    <sheet name="Recommend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2" l="1"/>
  <c r="B18" i="2"/>
  <c r="F8" i="2"/>
  <c r="I8" i="2" s="1"/>
  <c r="E8" i="2"/>
  <c r="F7" i="2"/>
  <c r="I7" i="2" s="1"/>
  <c r="E7" i="2"/>
  <c r="F6" i="2"/>
  <c r="I6" i="2" s="1"/>
  <c r="E6" i="2"/>
  <c r="H5" i="2"/>
  <c r="F5" i="2"/>
  <c r="I5" i="2" s="1"/>
  <c r="E5" i="2"/>
  <c r="H8" i="1"/>
  <c r="G8" i="1"/>
  <c r="I8" i="1" s="1"/>
  <c r="J8" i="1" s="1"/>
  <c r="H7" i="1"/>
  <c r="G7" i="1"/>
  <c r="I7" i="1" s="1"/>
  <c r="J7" i="1" s="1"/>
  <c r="H6" i="1"/>
  <c r="G6" i="1"/>
  <c r="I6" i="1" s="1"/>
  <c r="J6" i="1" s="1"/>
  <c r="H5" i="1"/>
  <c r="G5" i="1"/>
  <c r="I5" i="1" s="1"/>
  <c r="B15" i="2" l="1"/>
  <c r="B19" i="2" s="1"/>
  <c r="B22" i="2" s="1"/>
  <c r="J5" i="1"/>
  <c r="H7" i="2"/>
  <c r="H8" i="2"/>
  <c r="H6" i="2"/>
</calcChain>
</file>

<file path=xl/sharedStrings.xml><?xml version="1.0" encoding="utf-8"?>
<sst xmlns="http://schemas.openxmlformats.org/spreadsheetml/2006/main" count="75" uniqueCount="59">
  <si>
    <t>Price Elasticity Analysis — Tables vs Copiers</t>
  </si>
  <si>
    <t>Source: Global Superstore dataset. Products selected: appeared at both full price and a discount.</t>
  </si>
  <si>
    <t>Product</t>
  </si>
  <si>
    <t>Sub-Category</t>
  </si>
  <si>
    <t>Qty_Full</t>
  </si>
  <si>
    <t>Qty_Discount</t>
  </si>
  <si>
    <t>Price_Full ($)</t>
  </si>
  <si>
    <t>Price_Discount ($)</t>
  </si>
  <si>
    <t>%ΔQty</t>
  </si>
  <si>
    <t>%ΔPrice</t>
  </si>
  <si>
    <t>Elasticity</t>
  </si>
  <si>
    <t>Interpretation</t>
  </si>
  <si>
    <t>Lesro Computer Table, Fully Assembled</t>
  </si>
  <si>
    <t>Tables</t>
  </si>
  <si>
    <t>Bevis Wood Table, Rectangular</t>
  </si>
  <si>
    <t>Hewlett Wireless Fax, High-Speed</t>
  </si>
  <si>
    <t>Copiers</t>
  </si>
  <si>
    <t>Brother Fax and Copier, Digital</t>
  </si>
  <si>
    <t>Note: sample sizes for these products are small (2–14 orders each), so elasticity values are directional, not statistically precise.</t>
  </si>
  <si>
    <t>Key takeaway: elasticity alone doesn't guarantee healthy margin — a product can show strong volume response and still lose money if the discount cuts below cost. See the Breakeven sheet.</t>
  </si>
  <si>
    <t>Breakeven Discount Calculator</t>
  </si>
  <si>
    <t>Simple Breakeven % = (List Price − Cost) / List Price. Compares this to the discount actually being given.</t>
  </si>
  <si>
    <t>List Price ($)</t>
  </si>
  <si>
    <t>Cost ($)</t>
  </si>
  <si>
    <t>Profit/Unit at Full Price ($)</t>
  </si>
  <si>
    <t>Simple Breakeven Discount %</t>
  </si>
  <si>
    <t>Actual Avg. Discount Given %</t>
  </si>
  <si>
    <t>Margin Cushion (Breakeven − Actual)</t>
  </si>
  <si>
    <t>Verdict</t>
  </si>
  <si>
    <t>Adjustable Live Calculator — change the yellow cells</t>
  </si>
  <si>
    <t>Product being tested</t>
  </si>
  <si>
    <t>Assumed Elasticity (from Elasticity sheet)</t>
  </si>
  <si>
    <t>Discount Depth being tested (%)</t>
  </si>
  <si>
    <t>Simple Breakeven % (no volume assumed)</t>
  </si>
  <si>
    <t>Expected Volume Lift % (Discount Depth × |Elasticity|)</t>
  </si>
  <si>
    <t>Volume Increase Actually Needed to Break Even</t>
  </si>
  <si>
    <t>Business Recommendations — Discount Effectiveness &amp; Margin Leakage</t>
  </si>
  <si>
    <t>Based on SQL analysis (Q1–Q15) and Excel elasticity/breakeven work.</t>
  </si>
  <si>
    <t>Area</t>
  </si>
  <si>
    <t>Finding</t>
  </si>
  <si>
    <t>Recommendation</t>
  </si>
  <si>
    <t>Overall Business</t>
  </si>
  <si>
    <t>Full-price transactions earn 24–26% margin across all categories; every category flips negative once discounted.</t>
  </si>
  <si>
    <t>Introduce a company-wide discount ceiling, especially in Furniture and Office Supplies.</t>
  </si>
  <si>
    <t>Furniture / Tables</t>
  </si>
  <si>
    <t>-25.15% margin at 38.33% avg discount — the worst-performing sub-category. Breakeven check confirms: Lesro Computer Table has a 32% breakeven discount but is being discounted 56% on average.</t>
  </si>
  <si>
    <t>Cap discount at or below the breakeven threshold (~30–32%); review pricing floor for Tables specifically.</t>
  </si>
  <si>
    <t>Technology / Copiers</t>
  </si>
  <si>
    <t>+7.37% margin even at 19.51% avg discount — the best-performing discounted sub-category. Breakeven check confirms: Hewlett Wireless Fax has a 47% breakeven discount but is only discounted 11.6% on average.</t>
  </si>
  <si>
    <t>Safe to continue, or even modestly increase, current discount levels here — there is margin cushion to spare.</t>
  </si>
  <si>
    <t>South Region</t>
  </si>
  <si>
    <t>Actual margin 8.77% vs. 12% target — the largest shortfall among benchmarked regions.</t>
  </si>
  <si>
    <t>Audit the regional discount approval process; investigate why South's discounting is less disciplined than West's.</t>
  </si>
  <si>
    <t>West Region</t>
  </si>
  <si>
    <t>Actual margin 14.94% vs. 15% target — essentially on target.</t>
  </si>
  <si>
    <t>No action needed; treat West's discount governance as the internal benchmark for other regions.</t>
  </si>
  <si>
    <t>Discount Tier Behavior (West Region)</t>
  </si>
  <si>
    <t>Average profit per order falls from $44.58 (no discount) to $35.01 (low discount) to -$135.72 (high discount) — a clear, near-linear decline.</t>
  </si>
  <si>
    <t>Treat 'High' discount tier (&gt;40%) as an exception requiring manager approval, not a default lever.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</si>
</sst>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b/>
      <i/>
      <sz val="9"/>
      <color rgb="FF666666"/>
      <name val="Arial"/>
      <charset val="1"/>
    </font>
    <font>
      <b/>
      <sz val="11"/>
      <color rgb="FF1F3864"/>
      <name val="Arial"/>
      <charset val="1"/>
    </font>
    <font>
      <b/>
      <sz val="12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5" fontId="4" fillId="0" borderId="1" xfId="0" applyNumberFormat="1" applyFont="1" applyBorder="1"/>
    <xf numFmtId="2" fontId="6" fillId="0" borderId="1" xfId="0" applyNumberFormat="1" applyFont="1" applyBorder="1"/>
    <xf numFmtId="0" fontId="4" fillId="0" borderId="1" xfId="0" applyFont="1" applyBorder="1" applyAlignment="1">
      <alignment wrapText="1"/>
    </xf>
    <xf numFmtId="0" fontId="7" fillId="0" borderId="0" xfId="0" applyFont="1"/>
    <xf numFmtId="164" fontId="4" fillId="0" borderId="1" xfId="0" applyNumberFormat="1" applyFont="1" applyBorder="1"/>
    <xf numFmtId="165" fontId="6" fillId="0" borderId="1" xfId="0" applyNumberFormat="1" applyFont="1" applyBorder="1"/>
    <xf numFmtId="165" fontId="5" fillId="0" borderId="1" xfId="0" applyNumberFormat="1" applyFont="1" applyBorder="1"/>
    <xf numFmtId="0" fontId="6" fillId="0" borderId="1" xfId="0" applyFont="1" applyBorder="1" applyAlignment="1">
      <alignment wrapText="1"/>
    </xf>
    <xf numFmtId="0" fontId="8" fillId="3" borderId="0" xfId="0" applyFont="1" applyFill="1"/>
    <xf numFmtId="0" fontId="0" fillId="3" borderId="0" xfId="0" applyFill="1"/>
    <xf numFmtId="0" fontId="4" fillId="0" borderId="0" xfId="0" applyFont="1"/>
    <xf numFmtId="0" fontId="5" fillId="4" borderId="0" xfId="0" applyFont="1" applyFill="1"/>
    <xf numFmtId="164" fontId="5" fillId="4" borderId="0" xfId="0" applyNumberFormat="1" applyFont="1" applyFill="1"/>
    <xf numFmtId="2" fontId="4" fillId="0" borderId="0" xfId="0" applyNumberFormat="1" applyFont="1"/>
    <xf numFmtId="165" fontId="5" fillId="4" borderId="0" xfId="0" applyNumberFormat="1" applyFont="1" applyFill="1"/>
    <xf numFmtId="165" fontId="6" fillId="0" borderId="0" xfId="0" applyNumberFormat="1" applyFont="1"/>
    <xf numFmtId="0" fontId="6" fillId="0" borderId="0" xfId="0" applyFont="1"/>
    <xf numFmtId="0" fontId="9" fillId="0" borderId="0" xfId="0" applyFont="1"/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opLeftCell="A3" zoomScaleNormal="100" workbookViewId="0"/>
  </sheetViews>
  <sheetFormatPr defaultColWidth="8.6328125" defaultRowHeight="14.5" x14ac:dyDescent="0.35"/>
  <cols>
    <col min="1" max="1" width="38" customWidth="1"/>
    <col min="2" max="2" width="12" customWidth="1"/>
    <col min="3" max="3" width="10" customWidth="1"/>
    <col min="4" max="5" width="12" customWidth="1"/>
    <col min="6" max="6" width="14" customWidth="1"/>
    <col min="7" max="9" width="10" customWidth="1"/>
    <col min="10" max="10" width="40" customWidth="1"/>
  </cols>
  <sheetData>
    <row r="1" spans="1:10" ht="18" x14ac:dyDescent="0.4">
      <c r="A1" s="1" t="s">
        <v>0</v>
      </c>
    </row>
    <row r="2" spans="1:10" x14ac:dyDescent="0.35">
      <c r="A2" s="2" t="s">
        <v>1</v>
      </c>
    </row>
    <row r="4" spans="1:10" ht="28.5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35">
      <c r="A5" s="4" t="s">
        <v>12</v>
      </c>
      <c r="B5" s="4" t="s">
        <v>13</v>
      </c>
      <c r="C5" s="5">
        <v>1.5</v>
      </c>
      <c r="D5" s="5">
        <v>6.2</v>
      </c>
      <c r="E5" s="6">
        <v>428.25</v>
      </c>
      <c r="F5" s="6">
        <v>162.97999999999999</v>
      </c>
      <c r="G5" s="7">
        <f>(D5-C5)/C5</f>
        <v>3.1333333333333333</v>
      </c>
      <c r="H5" s="7">
        <f>(F5-E5)/E5</f>
        <v>-0.61942790426152938</v>
      </c>
      <c r="I5" s="8">
        <f>G5/H5</f>
        <v>-5.0584310325328916</v>
      </c>
      <c r="J5" s="9" t="str">
        <f>IF(ABS(I5)&gt;1,"Elastic — discount drove more volume","Inelastic — discount mostly gave away margin")</f>
        <v>Elastic — discount drove more volume</v>
      </c>
    </row>
    <row r="6" spans="1:10" x14ac:dyDescent="0.35">
      <c r="A6" s="4" t="s">
        <v>14</v>
      </c>
      <c r="B6" s="4" t="s">
        <v>13</v>
      </c>
      <c r="C6" s="5">
        <v>1.5</v>
      </c>
      <c r="D6" s="5">
        <v>5</v>
      </c>
      <c r="E6" s="6">
        <v>531</v>
      </c>
      <c r="F6" s="6">
        <v>358.5</v>
      </c>
      <c r="G6" s="7">
        <f>(D6-C6)/C6</f>
        <v>2.3333333333333335</v>
      </c>
      <c r="H6" s="7">
        <f>(F6-E6)/E6</f>
        <v>-0.3248587570621469</v>
      </c>
      <c r="I6" s="8">
        <f>G6/H6</f>
        <v>-7.1826086956521742</v>
      </c>
      <c r="J6" s="9" t="str">
        <f>IF(ABS(I6)&gt;1,"Elastic — discount drove more volume","Inelastic — discount mostly gave away margin")</f>
        <v>Elastic — discount drove more volume</v>
      </c>
    </row>
    <row r="7" spans="1:10" x14ac:dyDescent="0.35">
      <c r="A7" s="4" t="s">
        <v>15</v>
      </c>
      <c r="B7" s="4" t="s">
        <v>16</v>
      </c>
      <c r="C7" s="5">
        <v>2.36</v>
      </c>
      <c r="D7" s="5">
        <v>5.25</v>
      </c>
      <c r="E7" s="6">
        <v>378.24</v>
      </c>
      <c r="F7" s="6">
        <v>262.08999999999997</v>
      </c>
      <c r="G7" s="7">
        <f>(D7-C7)/C7</f>
        <v>1.2245762711864407</v>
      </c>
      <c r="H7" s="7">
        <f>(F7-E7)/E7</f>
        <v>-0.30708016074450095</v>
      </c>
      <c r="I7" s="8">
        <f>G7/H7</f>
        <v>-3.9878065330482926</v>
      </c>
      <c r="J7" s="9" t="str">
        <f>IF(ABS(I7)&gt;1,"Elastic — discount drove more volume","Inelastic — discount mostly gave away margin")</f>
        <v>Elastic — discount drove more volume</v>
      </c>
    </row>
    <row r="8" spans="1:10" x14ac:dyDescent="0.35">
      <c r="A8" s="4" t="s">
        <v>17</v>
      </c>
      <c r="B8" s="4" t="s">
        <v>16</v>
      </c>
      <c r="C8" s="5">
        <v>1.33</v>
      </c>
      <c r="D8" s="5">
        <v>4.1500000000000004</v>
      </c>
      <c r="E8" s="6">
        <v>191</v>
      </c>
      <c r="F8" s="6">
        <v>154.4</v>
      </c>
      <c r="G8" s="7">
        <f>(D8-C8)/C8</f>
        <v>2.1203007518796992</v>
      </c>
      <c r="H8" s="7">
        <f>(F8-E8)/E8</f>
        <v>-0.19162303664921462</v>
      </c>
      <c r="I8" s="8">
        <f>G8/H8</f>
        <v>-11.064957475656357</v>
      </c>
      <c r="J8" s="9" t="str">
        <f>IF(ABS(I8)&gt;1,"Elastic — discount drove more volume","Inelastic — discount mostly gave away margin")</f>
        <v>Elastic — discount drove more volume</v>
      </c>
    </row>
    <row r="10" spans="1:10" x14ac:dyDescent="0.35">
      <c r="A10" s="2" t="s">
        <v>18</v>
      </c>
    </row>
    <row r="11" spans="1:10" x14ac:dyDescent="0.35">
      <c r="A11" s="10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topLeftCell="A5" zoomScale="84" zoomScaleNormal="100" workbookViewId="0">
      <selection activeCell="C15" sqref="C15"/>
    </sheetView>
  </sheetViews>
  <sheetFormatPr defaultColWidth="8.6328125" defaultRowHeight="14.5" x14ac:dyDescent="0.35"/>
  <cols>
    <col min="1" max="1" width="38" customWidth="1"/>
    <col min="2" max="2" width="12" customWidth="1"/>
    <col min="3" max="3" width="13" customWidth="1"/>
    <col min="4" max="4" width="11" customWidth="1"/>
    <col min="5" max="8" width="16" customWidth="1"/>
    <col min="9" max="9" width="34" customWidth="1"/>
  </cols>
  <sheetData>
    <row r="1" spans="1:9" ht="18" x14ac:dyDescent="0.4">
      <c r="A1" s="1" t="s">
        <v>20</v>
      </c>
    </row>
    <row r="2" spans="1:9" x14ac:dyDescent="0.35">
      <c r="A2" s="2" t="s">
        <v>21</v>
      </c>
    </row>
    <row r="4" spans="1:9" ht="42.5" x14ac:dyDescent="0.35">
      <c r="A4" s="3" t="s">
        <v>2</v>
      </c>
      <c r="B4" s="3" t="s">
        <v>3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</row>
    <row r="5" spans="1:9" ht="28.5" x14ac:dyDescent="0.35">
      <c r="A5" s="4" t="s">
        <v>12</v>
      </c>
      <c r="B5" s="4" t="s">
        <v>13</v>
      </c>
      <c r="C5" s="6">
        <v>428.25</v>
      </c>
      <c r="D5" s="6">
        <v>291.20999999999998</v>
      </c>
      <c r="E5" s="11">
        <f>C5-D5</f>
        <v>137.04000000000002</v>
      </c>
      <c r="F5" s="12">
        <f>(C5-D5)/C5</f>
        <v>0.32000000000000006</v>
      </c>
      <c r="G5" s="13">
        <v>0.56000000000000005</v>
      </c>
      <c r="H5" s="7">
        <f>F5-G5</f>
        <v>-0.24</v>
      </c>
      <c r="I5" s="14" t="str">
        <f>IF(G5&gt;F5,"Exceeds breakeven — destroying margin","Within breakeven — margin protected")</f>
        <v>Exceeds breakeven — destroying margin</v>
      </c>
    </row>
    <row r="6" spans="1:9" ht="28.5" x14ac:dyDescent="0.35">
      <c r="A6" s="4" t="s">
        <v>14</v>
      </c>
      <c r="B6" s="4" t="s">
        <v>13</v>
      </c>
      <c r="C6" s="6">
        <v>531</v>
      </c>
      <c r="D6" s="6">
        <v>440.7</v>
      </c>
      <c r="E6" s="11">
        <f>C6-D6</f>
        <v>90.300000000000011</v>
      </c>
      <c r="F6" s="12">
        <f>(C6-D6)/C6</f>
        <v>0.17005649717514126</v>
      </c>
      <c r="G6" s="13">
        <v>0.32500000000000001</v>
      </c>
      <c r="H6" s="7">
        <f>F6-G6</f>
        <v>-0.15494350282485875</v>
      </c>
      <c r="I6" s="14" t="str">
        <f>IF(G6&gt;F6,"Exceeds breakeven — destroying margin","Within breakeven — margin protected")</f>
        <v>Exceeds breakeven — destroying margin</v>
      </c>
    </row>
    <row r="7" spans="1:9" ht="28.5" x14ac:dyDescent="0.35">
      <c r="A7" s="4" t="s">
        <v>15</v>
      </c>
      <c r="B7" s="4" t="s">
        <v>16</v>
      </c>
      <c r="C7" s="6">
        <v>378.24</v>
      </c>
      <c r="D7" s="6">
        <v>200.13</v>
      </c>
      <c r="E7" s="11">
        <f>C7-D7</f>
        <v>178.11</v>
      </c>
      <c r="F7" s="12">
        <f>(C7-D7)/C7</f>
        <v>0.47089149746192893</v>
      </c>
      <c r="G7" s="13">
        <v>0.11600000000000001</v>
      </c>
      <c r="H7" s="7">
        <f>F7-G7</f>
        <v>0.35489149746192894</v>
      </c>
      <c r="I7" s="14" t="str">
        <f>IF(G7&gt;F7,"Exceeds breakeven — destroying margin","Within breakeven — margin protected")</f>
        <v>Within breakeven — margin protected</v>
      </c>
    </row>
    <row r="8" spans="1:9" ht="28.5" x14ac:dyDescent="0.35">
      <c r="A8" s="4" t="s">
        <v>17</v>
      </c>
      <c r="B8" s="4" t="s">
        <v>16</v>
      </c>
      <c r="C8" s="6">
        <v>191</v>
      </c>
      <c r="D8" s="6">
        <v>145.79</v>
      </c>
      <c r="E8" s="11">
        <f>C8-D8</f>
        <v>45.210000000000008</v>
      </c>
      <c r="F8" s="12">
        <f>(C8-D8)/C8</f>
        <v>0.2367015706806283</v>
      </c>
      <c r="G8" s="13">
        <v>0.16600000000000001</v>
      </c>
      <c r="H8" s="7">
        <f>F8-G8</f>
        <v>7.0701570680628295E-2</v>
      </c>
      <c r="I8" s="14" t="str">
        <f>IF(G8&gt;F8,"Exceeds breakeven — destroying margin","Within breakeven — margin protected")</f>
        <v>Within breakeven — margin protected</v>
      </c>
    </row>
    <row r="11" spans="1:9" x14ac:dyDescent="0.35">
      <c r="A11" s="15" t="s">
        <v>29</v>
      </c>
      <c r="B11" s="16"/>
      <c r="C11" s="16"/>
      <c r="D11" s="16"/>
    </row>
    <row r="12" spans="1:9" x14ac:dyDescent="0.35">
      <c r="A12" s="17" t="s">
        <v>30</v>
      </c>
      <c r="B12" s="18" t="s">
        <v>12</v>
      </c>
    </row>
    <row r="13" spans="1:9" x14ac:dyDescent="0.35">
      <c r="A13" s="17" t="s">
        <v>22</v>
      </c>
      <c r="B13" s="19">
        <v>428.25</v>
      </c>
    </row>
    <row r="14" spans="1:9" x14ac:dyDescent="0.35">
      <c r="A14" s="17" t="s">
        <v>23</v>
      </c>
      <c r="B14" s="19">
        <v>291.20999999999998</v>
      </c>
    </row>
    <row r="15" spans="1:9" x14ac:dyDescent="0.35">
      <c r="A15" s="17" t="s">
        <v>31</v>
      </c>
      <c r="B15" s="20">
        <f>Elasticity!I5</f>
        <v>-5.0584310325328916</v>
      </c>
    </row>
    <row r="16" spans="1:9" x14ac:dyDescent="0.35">
      <c r="A16" s="17" t="s">
        <v>32</v>
      </c>
      <c r="B16" s="21">
        <v>0.3</v>
      </c>
    </row>
    <row r="18" spans="1:2" x14ac:dyDescent="0.35">
      <c r="A18" s="17" t="s">
        <v>33</v>
      </c>
      <c r="B18" s="22">
        <f>(B13-B14)/B13</f>
        <v>0.32000000000000006</v>
      </c>
    </row>
    <row r="19" spans="1:2" x14ac:dyDescent="0.35">
      <c r="A19" s="17" t="s">
        <v>34</v>
      </c>
      <c r="B19" s="22">
        <f>ABS(B16*B15)</f>
        <v>1.5175293097598674</v>
      </c>
    </row>
    <row r="20" spans="1:2" x14ac:dyDescent="0.35">
      <c r="A20" s="17" t="s">
        <v>35</v>
      </c>
      <c r="B20" s="22">
        <f>B16/(1-B16)</f>
        <v>0.4285714285714286</v>
      </c>
    </row>
    <row r="22" spans="1:2" ht="15.5" x14ac:dyDescent="0.35">
      <c r="A22" s="23" t="s">
        <v>28</v>
      </c>
      <c r="B22" s="24" t="str">
        <f>IF(B19&gt;=B20,"Discount pays for itself","Discount does NOT pay for itself")</f>
        <v>Discount pays for itself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55" customWidth="1"/>
    <col min="3" max="3" width="50" customWidth="1"/>
  </cols>
  <sheetData>
    <row r="1" spans="1:3" ht="18" x14ac:dyDescent="0.4">
      <c r="A1" s="1" t="s">
        <v>36</v>
      </c>
    </row>
    <row r="2" spans="1:3" x14ac:dyDescent="0.35">
      <c r="A2" s="2" t="s">
        <v>37</v>
      </c>
    </row>
    <row r="4" spans="1:3" x14ac:dyDescent="0.35">
      <c r="A4" s="3" t="s">
        <v>38</v>
      </c>
      <c r="B4" s="3" t="s">
        <v>39</v>
      </c>
      <c r="C4" s="3" t="s">
        <v>40</v>
      </c>
    </row>
    <row r="5" spans="1:3" ht="54.75" customHeight="1" x14ac:dyDescent="0.35">
      <c r="A5" s="25" t="s">
        <v>41</v>
      </c>
      <c r="B5" s="26" t="s">
        <v>42</v>
      </c>
      <c r="C5" s="26" t="s">
        <v>43</v>
      </c>
    </row>
    <row r="6" spans="1:3" ht="54.75" customHeight="1" x14ac:dyDescent="0.35">
      <c r="A6" s="25" t="s">
        <v>44</v>
      </c>
      <c r="B6" s="26" t="s">
        <v>45</v>
      </c>
      <c r="C6" s="26" t="s">
        <v>46</v>
      </c>
    </row>
    <row r="7" spans="1:3" ht="54.75" customHeight="1" x14ac:dyDescent="0.35">
      <c r="A7" s="25" t="s">
        <v>47</v>
      </c>
      <c r="B7" s="26" t="s">
        <v>48</v>
      </c>
      <c r="C7" s="26" t="s">
        <v>49</v>
      </c>
    </row>
    <row r="8" spans="1:3" ht="54.75" customHeight="1" x14ac:dyDescent="0.35">
      <c r="A8" s="25" t="s">
        <v>50</v>
      </c>
      <c r="B8" s="26" t="s">
        <v>51</v>
      </c>
      <c r="C8" s="26" t="s">
        <v>52</v>
      </c>
    </row>
    <row r="9" spans="1:3" ht="54.75" customHeight="1" x14ac:dyDescent="0.35">
      <c r="A9" s="25" t="s">
        <v>53</v>
      </c>
      <c r="B9" s="26" t="s">
        <v>54</v>
      </c>
      <c r="C9" s="26" t="s">
        <v>55</v>
      </c>
    </row>
    <row r="10" spans="1:3" ht="54.75" customHeight="1" x14ac:dyDescent="0.35">
      <c r="A10" s="25" t="s">
        <v>56</v>
      </c>
      <c r="B10" s="26" t="s">
        <v>57</v>
      </c>
      <c r="C10" s="26" t="s">
        <v>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Elasticity</vt:lpstr>
      <vt:lpstr>Breakeven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SIDDHI TIWARI</cp:lastModifiedBy>
  <cp:revision>0</cp:revision>
  <dcterms:created xsi:type="dcterms:W3CDTF">2026-07-19T06:34:38Z</dcterms:created>
  <dcterms:modified xsi:type="dcterms:W3CDTF">2026-07-19T06:38:56Z</dcterms:modified>
  <dc:language>en-US</dc:language>
</cp:coreProperties>
</file>